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adb4a70bde24fb/문서/데이터베이스프로젝트/"/>
    </mc:Choice>
  </mc:AlternateContent>
  <xr:revisionPtr revIDLastSave="479" documentId="8_{FE5E217D-D5BF-4A4B-8721-ABB8F35878D0}" xr6:coauthVersionLast="47" xr6:coauthVersionMax="47" xr10:uidLastSave="{455F03CC-97A6-4D6A-9B17-0BEC49FEB21A}"/>
  <bookViews>
    <workbookView xWindow="-110" yWindow="-110" windowWidth="29020" windowHeight="17500" xr2:uid="{BD31205C-FEC3-44A7-AF53-3EAF9AC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6" i="1"/>
</calcChain>
</file>

<file path=xl/sharedStrings.xml><?xml version="1.0" encoding="utf-8"?>
<sst xmlns="http://schemas.openxmlformats.org/spreadsheetml/2006/main" count="446" uniqueCount="224">
  <si>
    <t>따릉이 대여시스템</t>
    <phoneticPr fontId="2" type="noConversion"/>
  </si>
  <si>
    <t>대여소번호</t>
    <phoneticPr fontId="2" type="noConversion"/>
  </si>
  <si>
    <t>대여소이름</t>
    <phoneticPr fontId="2" type="noConversion"/>
  </si>
  <si>
    <t>지역</t>
    <phoneticPr fontId="2" type="noConversion"/>
  </si>
  <si>
    <t>회원ID</t>
    <phoneticPr fontId="2" type="noConversion"/>
  </si>
  <si>
    <t>이름</t>
    <phoneticPr fontId="2" type="noConversion"/>
  </si>
  <si>
    <t>나이</t>
    <phoneticPr fontId="2" type="noConversion"/>
  </si>
  <si>
    <t>성별</t>
    <phoneticPr fontId="2" type="noConversion"/>
  </si>
  <si>
    <t>가입일</t>
    <phoneticPr fontId="2" type="noConversion"/>
  </si>
  <si>
    <t>자전거번호</t>
    <phoneticPr fontId="2" type="noConversion"/>
  </si>
  <si>
    <t>대여소번호(대여)</t>
    <phoneticPr fontId="2" type="noConversion"/>
  </si>
  <si>
    <t>대여소번호(반납)</t>
    <phoneticPr fontId="2" type="noConversion"/>
  </si>
  <si>
    <t>대여시간</t>
    <phoneticPr fontId="2" type="noConversion"/>
  </si>
  <si>
    <t>반납시간</t>
    <phoneticPr fontId="2" type="noConversion"/>
  </si>
  <si>
    <t>영등포구</t>
    <phoneticPr fontId="2" type="noConversion"/>
  </si>
  <si>
    <t>마포구</t>
    <phoneticPr fontId="2" type="noConversion"/>
  </si>
  <si>
    <t>송파구</t>
    <phoneticPr fontId="2" type="noConversion"/>
  </si>
  <si>
    <t xml:space="preserve"> </t>
    <phoneticPr fontId="2" type="noConversion"/>
  </si>
  <si>
    <t>국회의사당 본관</t>
    <phoneticPr fontId="2" type="noConversion"/>
  </si>
  <si>
    <t>여의도역 2번출구 앞</t>
    <phoneticPr fontId="2" type="noConversion"/>
  </si>
  <si>
    <t>63스퀘어</t>
    <phoneticPr fontId="2" type="noConversion"/>
  </si>
  <si>
    <t>국민일보 앞</t>
    <phoneticPr fontId="2" type="noConversion"/>
  </si>
  <si>
    <t>홍대입구역사거리</t>
    <phoneticPr fontId="2" type="noConversion"/>
  </si>
  <si>
    <t>연남동주민센터앞</t>
    <phoneticPr fontId="2" type="noConversion"/>
  </si>
  <si>
    <t>마포구청역</t>
    <phoneticPr fontId="2" type="noConversion"/>
  </si>
  <si>
    <t>롯데월드타워</t>
    <phoneticPr fontId="2" type="noConversion"/>
  </si>
  <si>
    <t>방이삼거리</t>
    <phoneticPr fontId="2" type="noConversion"/>
  </si>
  <si>
    <t>홈플러스 잠실점</t>
    <phoneticPr fontId="2" type="noConversion"/>
  </si>
  <si>
    <t>구분(새싹=10, 어른=20)</t>
    <phoneticPr fontId="2" type="noConversion"/>
  </si>
  <si>
    <t>수리중</t>
    <phoneticPr fontId="2" type="noConversion"/>
  </si>
  <si>
    <t>이용가능</t>
    <phoneticPr fontId="2" type="noConversion"/>
  </si>
  <si>
    <t>B01</t>
    <phoneticPr fontId="2" type="noConversion"/>
  </si>
  <si>
    <t>S101</t>
    <phoneticPr fontId="2" type="noConversion"/>
  </si>
  <si>
    <t>S102</t>
    <phoneticPr fontId="2" type="noConversion"/>
  </si>
  <si>
    <t>S103</t>
    <phoneticPr fontId="2" type="noConversion"/>
  </si>
  <si>
    <t>S104</t>
    <phoneticPr fontId="2" type="noConversion"/>
  </si>
  <si>
    <t>S201</t>
    <phoneticPr fontId="2" type="noConversion"/>
  </si>
  <si>
    <t>S202</t>
    <phoneticPr fontId="2" type="noConversion"/>
  </si>
  <si>
    <t>S203</t>
    <phoneticPr fontId="2" type="noConversion"/>
  </si>
  <si>
    <t>S301</t>
    <phoneticPr fontId="2" type="noConversion"/>
  </si>
  <si>
    <t>S302</t>
    <phoneticPr fontId="2" type="noConversion"/>
  </si>
  <si>
    <t>S303</t>
    <phoneticPr fontId="2" type="noConversion"/>
  </si>
  <si>
    <t>상태(이용가능, 수리중, 고장)</t>
    <phoneticPr fontId="2" type="noConversion"/>
  </si>
  <si>
    <t>고장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</si>
  <si>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</si>
  <si>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</si>
  <si>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</si>
  <si>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</si>
  <si>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</si>
  <si>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</si>
  <si>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</si>
  <si>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</si>
  <si>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</si>
  <si>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</si>
  <si>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</si>
  <si>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</si>
  <si>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</si>
  <si>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</si>
  <si>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</si>
  <si>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</si>
  <si>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</si>
  <si>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</si>
  <si>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</si>
  <si>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</si>
  <si>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</si>
  <si>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</si>
  <si>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</si>
  <si>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</si>
  <si>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</si>
  <si>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</si>
  <si>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</si>
  <si>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</si>
  <si>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</si>
  <si>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대여소정보 테이블(10개)</t>
    <phoneticPr fontId="2" type="noConversion"/>
  </si>
  <si>
    <t>새싹</t>
    <phoneticPr fontId="2" type="noConversion"/>
  </si>
  <si>
    <t>어른</t>
    <phoneticPr fontId="2" type="noConversion"/>
  </si>
  <si>
    <t>합계</t>
    <phoneticPr fontId="2" type="noConversion"/>
  </si>
  <si>
    <t>S101</t>
  </si>
  <si>
    <t>S102</t>
  </si>
  <si>
    <t>S103</t>
  </si>
  <si>
    <t>S104</t>
  </si>
  <si>
    <t>S201</t>
  </si>
  <si>
    <t>S202</t>
  </si>
  <si>
    <t>S203</t>
  </si>
  <si>
    <t>S301</t>
  </si>
  <si>
    <t>S303</t>
  </si>
  <si>
    <t>이용내역 테이블(20명)</t>
    <phoneticPr fontId="2" type="noConversion"/>
  </si>
  <si>
    <t>컬럼명</t>
  </si>
  <si>
    <t>컬럼ID</t>
  </si>
  <si>
    <t>타입/길이</t>
  </si>
  <si>
    <t>N/N</t>
  </si>
  <si>
    <t>PK</t>
  </si>
  <si>
    <t>FK</t>
  </si>
  <si>
    <t>제약조건</t>
  </si>
  <si>
    <t>대여소번호</t>
  </si>
  <si>
    <t>VARCHAR2(4)</t>
  </si>
  <si>
    <t>O</t>
  </si>
  <si>
    <t>대여소이름</t>
  </si>
  <si>
    <t>VARCHAR2(50)</t>
  </si>
  <si>
    <t>지역</t>
  </si>
  <si>
    <t>VARCHAR2(20)</t>
  </si>
  <si>
    <t>회원ID</t>
  </si>
  <si>
    <t>member_id</t>
  </si>
  <si>
    <t>이름</t>
  </si>
  <si>
    <t>member_name</t>
  </si>
  <si>
    <t>나이</t>
  </si>
  <si>
    <t>age</t>
  </si>
  <si>
    <t>성별</t>
  </si>
  <si>
    <t>gender</t>
  </si>
  <si>
    <t>CHAR(1)</t>
  </si>
  <si>
    <t>가입일</t>
  </si>
  <si>
    <t>join_date</t>
  </si>
  <si>
    <t>DATE</t>
  </si>
  <si>
    <t>자전거번호</t>
  </si>
  <si>
    <t>NUMBER</t>
  </si>
  <si>
    <t>대여대여소</t>
  </si>
  <si>
    <t>반납대여소</t>
  </si>
  <si>
    <t>대여시간</t>
  </si>
  <si>
    <t>rental_time</t>
  </si>
  <si>
    <t>반납시간</t>
  </si>
  <si>
    <t>return_time</t>
  </si>
  <si>
    <t>fee</t>
  </si>
  <si>
    <t>회원권</t>
    <phoneticPr fontId="2" type="noConversion"/>
  </si>
  <si>
    <t>회원권(일반=1000, 프리미엄=2000)</t>
    <phoneticPr fontId="2" type="noConversion"/>
  </si>
  <si>
    <t>station_id</t>
    <phoneticPr fontId="2" type="noConversion"/>
  </si>
  <si>
    <t>station_name</t>
    <phoneticPr fontId="2" type="noConversion"/>
  </si>
  <si>
    <t>location</t>
    <phoneticPr fontId="2" type="noConversion"/>
  </si>
  <si>
    <t>M1001</t>
    <phoneticPr fontId="2" type="noConversion"/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</si>
  <si>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</si>
  <si>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</si>
  <si>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</si>
  <si>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</si>
  <si>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</si>
  <si>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</si>
  <si>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</si>
  <si>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</si>
  <si>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</si>
  <si>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</si>
  <si>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</si>
  <si>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</si>
  <si>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</si>
  <si>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</si>
  <si>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도영</t>
  </si>
  <si>
    <t>이안</t>
  </si>
  <si>
    <t>지현</t>
  </si>
  <si>
    <t>동원</t>
  </si>
  <si>
    <t>윤아</t>
  </si>
  <si>
    <t>지민</t>
  </si>
  <si>
    <t>소민</t>
  </si>
  <si>
    <t>서준</t>
  </si>
  <si>
    <t>우주</t>
  </si>
  <si>
    <t>진희</t>
  </si>
  <si>
    <t>승민</t>
  </si>
  <si>
    <t>이서</t>
  </si>
  <si>
    <t>현진</t>
  </si>
  <si>
    <t>윤서</t>
  </si>
  <si>
    <t>M</t>
  </si>
  <si>
    <t>F</t>
  </si>
  <si>
    <t>회원정보 테이블(15명, 남9, 여6)</t>
    <phoneticPr fontId="2" type="noConversion"/>
  </si>
  <si>
    <t>S302</t>
  </si>
  <si>
    <t>station_tbl</t>
    <phoneticPr fontId="2" type="noConversion"/>
  </si>
  <si>
    <t>member_tbl</t>
    <phoneticPr fontId="2" type="noConversion"/>
  </si>
  <si>
    <t>bike_tbl</t>
    <phoneticPr fontId="2" type="noConversion"/>
  </si>
  <si>
    <t>bike_id</t>
    <phoneticPr fontId="2" type="noConversion"/>
  </si>
  <si>
    <t>rental_station_id</t>
    <phoneticPr fontId="2" type="noConversion"/>
  </si>
  <si>
    <t>return_station_id</t>
    <phoneticPr fontId="2" type="noConversion"/>
  </si>
  <si>
    <t>service_tbl</t>
    <phoneticPr fontId="2" type="noConversion"/>
  </si>
  <si>
    <t>이용번호</t>
  </si>
  <si>
    <t>service_id</t>
  </si>
  <si>
    <t>O</t>
    <phoneticPr fontId="2" type="noConversion"/>
  </si>
  <si>
    <t>Default sysdate</t>
    <phoneticPr fontId="2" type="noConversion"/>
  </si>
  <si>
    <t xml:space="preserve">일반=1000, 프리미엄=2000                </t>
    <phoneticPr fontId="2" type="noConversion"/>
  </si>
  <si>
    <t>이용내역번호</t>
    <phoneticPr fontId="2" type="noConversion"/>
  </si>
  <si>
    <t>SV250929-0001</t>
    <phoneticPr fontId="2" type="noConversion"/>
  </si>
  <si>
    <t>SV250929-0003</t>
  </si>
  <si>
    <t>SV250929-0004</t>
  </si>
  <si>
    <t>SV250929-0005</t>
  </si>
  <si>
    <t>SV250929-0006</t>
  </si>
  <si>
    <t>SV250929-0007</t>
  </si>
  <si>
    <t>SV250929-0008</t>
  </si>
  <si>
    <t>SV250929-0009</t>
  </si>
  <si>
    <t>SV250929-0010</t>
  </si>
  <si>
    <t>SV250929-0011</t>
  </si>
  <si>
    <t>SV250929-0012</t>
  </si>
  <si>
    <t>SV250929-0013</t>
  </si>
  <si>
    <t>SV250929-0014</t>
  </si>
  <si>
    <t>SV250929-0015</t>
  </si>
  <si>
    <t>SV250929-0016</t>
  </si>
  <si>
    <t>SV250929-0017</t>
  </si>
  <si>
    <t>SV250929-0018</t>
  </si>
  <si>
    <t>SV250929-0019</t>
  </si>
  <si>
    <t>SV250929-0020</t>
  </si>
  <si>
    <t>SV250929-0002</t>
    <phoneticPr fontId="2" type="noConversion"/>
  </si>
  <si>
    <t>VARCHAR2(20)</t>
    <phoneticPr fontId="2" type="noConversion"/>
  </si>
  <si>
    <t>DATE</t>
    <phoneticPr fontId="2" type="noConversion"/>
  </si>
  <si>
    <t>VARCHAR2(10)</t>
    <phoneticPr fontId="2" type="noConversion"/>
  </si>
  <si>
    <t>홍민</t>
  </si>
  <si>
    <t>station 테이블의 station_id 참조</t>
    <phoneticPr fontId="2" type="noConversion"/>
  </si>
  <si>
    <t>members테이블의 member_id 참조</t>
    <phoneticPr fontId="2" type="noConversion"/>
  </si>
  <si>
    <t>bike 테이블의 bike_id 참조</t>
    <phoneticPr fontId="2" type="noConversion"/>
  </si>
  <si>
    <t xml:space="preserve">CHECK (gender IN ('M', 'W')) </t>
    <phoneticPr fontId="2" type="noConversion"/>
  </si>
  <si>
    <t>자전거정보 테이블(30대)</t>
    <phoneticPr fontId="2" type="noConversion"/>
  </si>
  <si>
    <t>NUMBER(3)</t>
    <phoneticPr fontId="2" type="noConversion"/>
  </si>
  <si>
    <t>NUMBER(2)</t>
    <phoneticPr fontId="2" type="noConversion"/>
  </si>
  <si>
    <t>B01</t>
  </si>
  <si>
    <t xml:space="preserve">S101 </t>
  </si>
  <si>
    <t>어른</t>
  </si>
  <si>
    <t>새싹</t>
  </si>
  <si>
    <t>status</t>
    <phoneticPr fontId="2" type="noConversion"/>
  </si>
  <si>
    <t>구분</t>
    <phoneticPr fontId="2" type="noConversion"/>
  </si>
  <si>
    <t>자전거상태</t>
    <phoneticPr fontId="2" type="noConversion"/>
  </si>
  <si>
    <t>type</t>
    <phoneticPr fontId="2" type="noConversion"/>
  </si>
  <si>
    <t xml:space="preserve">	CHECK (status IN ('이용가능', '수리중', '고장'))</t>
    <phoneticPr fontId="2" type="noConversion"/>
  </si>
  <si>
    <t>CHECK (type IN (10,  20))'</t>
    <phoneticPr fontId="2" type="noConversion"/>
  </si>
  <si>
    <t>M1014</t>
    <phoneticPr fontId="2" type="noConversion"/>
  </si>
  <si>
    <t>M1012</t>
    <phoneticPr fontId="2" type="noConversion"/>
  </si>
  <si>
    <t>M1005</t>
    <phoneticPr fontId="2" type="noConversion"/>
  </si>
  <si>
    <t>M1010</t>
    <phoneticPr fontId="2" type="noConversion"/>
  </si>
  <si>
    <t>M1007</t>
    <phoneticPr fontId="2" type="noConversion"/>
  </si>
  <si>
    <t>M1015</t>
    <phoneticPr fontId="2" type="noConversion"/>
  </si>
  <si>
    <t>M1009</t>
    <phoneticPr fontId="2" type="noConversion"/>
  </si>
  <si>
    <t>M1002</t>
    <phoneticPr fontId="2" type="noConversion"/>
  </si>
  <si>
    <t>M1001</t>
  </si>
  <si>
    <t>테이블명세서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</si>
</sst>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61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5" fillId="0" borderId="0"/>
  </cellStyleXfs>
  <cellXfs count="45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9" xfId="0" applyFont="1" applyBorder="1" applyAlignment="1">
      <alignment wrapText="1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0" xfId="2" applyFont="1"/>
    <xf numFmtId="20" fontId="6" fillId="0" borderId="0" xfId="0" applyNumberFormat="1" applyFont="1">
      <alignment vertical="center"/>
    </xf>
    <xf numFmtId="0" fontId="6" fillId="0" borderId="7" xfId="2" applyFont="1" applyBorder="1"/>
    <xf numFmtId="20" fontId="6" fillId="0" borderId="7" xfId="0" applyNumberFormat="1" applyFont="1" applyBorder="1">
      <alignment vertical="center"/>
    </xf>
    <xf numFmtId="0" fontId="6" fillId="3" borderId="0" xfId="0" applyFont="1" applyFill="1">
      <alignment vertical="center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3" borderId="0" xfId="0" applyFont="1" applyFill="1" applyAlignment="1">
      <alignment wrapText="1"/>
    </xf>
    <xf numFmtId="0" fontId="7" fillId="0" borderId="19" xfId="0" applyFont="1" applyBorder="1" applyAlignment="1">
      <alignment wrapText="1"/>
    </xf>
    <xf numFmtId="0" fontId="7" fillId="3" borderId="10" xfId="0" applyFont="1" applyFill="1" applyBorder="1" applyAlignment="1">
      <alignment wrapText="1"/>
    </xf>
    <xf numFmtId="0" fontId="7" fillId="0" borderId="15" xfId="0" applyFont="1" applyBorder="1">
      <alignment vertical="center"/>
    </xf>
    <xf numFmtId="0" fontId="7" fillId="0" borderId="15" xfId="0" quotePrefix="1" applyFont="1" applyBorder="1">
      <alignment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9" xfId="0" applyFont="1" applyBorder="1" applyAlignment="1">
      <alignment wrapText="1"/>
    </xf>
    <xf numFmtId="0" fontId="9" fillId="0" borderId="9" xfId="0" applyFont="1" applyBorder="1" applyAlignment="1">
      <alignment horizontal="right" wrapText="1"/>
    </xf>
    <xf numFmtId="0" fontId="9" fillId="0" borderId="6" xfId="0" applyFont="1" applyBorder="1">
      <alignment vertical="center"/>
    </xf>
    <xf numFmtId="14" fontId="9" fillId="0" borderId="15" xfId="0" applyNumberFormat="1" applyFont="1" applyBorder="1" applyAlignment="1">
      <alignment horizontal="right" wrapText="1"/>
    </xf>
    <xf numFmtId="0" fontId="9" fillId="0" borderId="17" xfId="0" applyFont="1" applyBorder="1" applyAlignment="1">
      <alignment wrapText="1"/>
    </xf>
    <xf numFmtId="0" fontId="9" fillId="0" borderId="17" xfId="0" applyFont="1" applyBorder="1" applyAlignment="1">
      <alignment horizontal="right" wrapText="1"/>
    </xf>
    <xf numFmtId="14" fontId="9" fillId="0" borderId="18" xfId="0" applyNumberFormat="1" applyFont="1" applyBorder="1" applyAlignment="1">
      <alignment horizontal="right" wrapText="1"/>
    </xf>
    <xf numFmtId="0" fontId="7" fillId="0" borderId="0" xfId="0" applyFont="1" applyAlignment="1">
      <alignment wrapText="1"/>
    </xf>
    <xf numFmtId="0" fontId="3" fillId="3" borderId="0" xfId="0" applyFont="1" applyFill="1" applyAlignment="1">
      <alignment horizontal="center" vertical="center"/>
    </xf>
    <xf numFmtId="0" fontId="4" fillId="2" borderId="0" xfId="1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3">
    <cellStyle name="좋음" xfId="1" builtinId="26"/>
    <cellStyle name="표준" xfId="0" builtinId="0"/>
    <cellStyle name="표준 2" xfId="2" xr:uid="{FCC75AA0-5B8C-46AA-AEAE-0679FDB77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8C47-DD9E-4CBF-A9AE-6600E441D62B}">
  <dimension ref="A1:Q189"/>
  <sheetViews>
    <sheetView tabSelected="1" zoomScaleNormal="100" workbookViewId="0">
      <selection activeCell="H68" sqref="H68"/>
    </sheetView>
  </sheetViews>
  <sheetFormatPr defaultRowHeight="17" x14ac:dyDescent="0.45"/>
  <cols>
    <col min="1" max="1" width="14.5" bestFit="1" customWidth="1"/>
    <col min="2" max="2" width="12.33203125" bestFit="1" customWidth="1"/>
    <col min="3" max="3" width="20" bestFit="1" customWidth="1"/>
    <col min="4" max="5" width="16.5" bestFit="1" customWidth="1"/>
    <col min="8" max="8" width="37.5" bestFit="1" customWidth="1"/>
    <col min="12" max="12" width="11.75" customWidth="1"/>
    <col min="14" max="15" width="11.08203125" bestFit="1" customWidth="1"/>
    <col min="16" max="16" width="23.25" bestFit="1" customWidth="1"/>
    <col min="17" max="17" width="27.5" bestFit="1" customWidth="1"/>
  </cols>
  <sheetData>
    <row r="1" spans="1:1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7.5" x14ac:dyDescent="0.45">
      <c r="A2" s="1"/>
      <c r="B2" s="42" t="s">
        <v>0</v>
      </c>
      <c r="C2" s="42"/>
      <c r="D2" s="4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thickBot="1" x14ac:dyDescent="0.5">
      <c r="A4" s="1"/>
      <c r="B4" s="44" t="s">
        <v>73</v>
      </c>
      <c r="C4" s="44"/>
      <c r="D4" s="44"/>
      <c r="E4" s="1"/>
      <c r="F4" s="1"/>
      <c r="G4" s="1"/>
      <c r="H4" s="41" t="s">
        <v>158</v>
      </c>
      <c r="I4" s="43"/>
      <c r="J4" s="43"/>
      <c r="K4" s="43"/>
      <c r="L4" s="43"/>
      <c r="M4" s="1"/>
      <c r="N4" s="44" t="s">
        <v>201</v>
      </c>
      <c r="O4" s="44"/>
      <c r="P4" s="44"/>
      <c r="Q4" s="44"/>
    </row>
    <row r="5" spans="1:17" ht="18" thickBot="1" x14ac:dyDescent="0.5">
      <c r="A5" s="1"/>
      <c r="B5" s="2" t="s">
        <v>1</v>
      </c>
      <c r="C5" s="3" t="s">
        <v>2</v>
      </c>
      <c r="D5" s="4" t="s">
        <v>3</v>
      </c>
      <c r="E5" s="1" t="s">
        <v>74</v>
      </c>
      <c r="F5" s="1" t="s">
        <v>75</v>
      </c>
      <c r="G5" s="1" t="s">
        <v>76</v>
      </c>
      <c r="H5" s="29" t="s">
        <v>4</v>
      </c>
      <c r="I5" s="30" t="s">
        <v>5</v>
      </c>
      <c r="J5" s="30" t="s">
        <v>6</v>
      </c>
      <c r="K5" s="30" t="s">
        <v>7</v>
      </c>
      <c r="L5" s="31" t="s">
        <v>8</v>
      </c>
      <c r="M5" s="1"/>
      <c r="N5" s="2" t="s">
        <v>9</v>
      </c>
      <c r="O5" s="3" t="s">
        <v>1</v>
      </c>
      <c r="P5" s="3" t="s">
        <v>28</v>
      </c>
      <c r="Q5" s="4" t="s">
        <v>42</v>
      </c>
    </row>
    <row r="6" spans="1:17" ht="18" thickBot="1" x14ac:dyDescent="0.5">
      <c r="A6" s="1" t="s">
        <v>17</v>
      </c>
      <c r="B6" s="5" t="s">
        <v>32</v>
      </c>
      <c r="C6" s="1" t="s">
        <v>18</v>
      </c>
      <c r="D6" s="6" t="s">
        <v>14</v>
      </c>
      <c r="E6" s="1">
        <v>2</v>
      </c>
      <c r="F6" s="1">
        <v>5</v>
      </c>
      <c r="G6" s="1">
        <f>SUM(E6:F6)</f>
        <v>7</v>
      </c>
      <c r="H6" s="32" t="s">
        <v>127</v>
      </c>
      <c r="I6" s="33" t="s">
        <v>151</v>
      </c>
      <c r="J6" s="34">
        <v>29</v>
      </c>
      <c r="K6" s="33" t="s">
        <v>157</v>
      </c>
      <c r="L6" s="36">
        <v>43964</v>
      </c>
      <c r="M6" s="1"/>
      <c r="N6" s="5" t="s">
        <v>31</v>
      </c>
      <c r="O6" s="1" t="s">
        <v>32</v>
      </c>
      <c r="P6" s="1">
        <v>10</v>
      </c>
      <c r="Q6" s="6" t="s">
        <v>30</v>
      </c>
    </row>
    <row r="7" spans="1:17" ht="18" thickBot="1" x14ac:dyDescent="0.5">
      <c r="A7" s="1"/>
      <c r="B7" s="5" t="s">
        <v>33</v>
      </c>
      <c r="C7" s="1" t="s">
        <v>21</v>
      </c>
      <c r="D7" s="6" t="s">
        <v>14</v>
      </c>
      <c r="E7" s="1"/>
      <c r="F7" s="1">
        <v>2</v>
      </c>
      <c r="G7" s="1">
        <f t="shared" ref="G7:G16" si="0">SUM(E7:F7)</f>
        <v>2</v>
      </c>
      <c r="H7" s="32" t="s">
        <v>128</v>
      </c>
      <c r="I7" s="33" t="s">
        <v>142</v>
      </c>
      <c r="J7" s="34">
        <v>21</v>
      </c>
      <c r="K7" s="33" t="s">
        <v>156</v>
      </c>
      <c r="L7" s="36">
        <v>43979</v>
      </c>
      <c r="M7" s="1"/>
      <c r="N7" s="5" t="s">
        <v>44</v>
      </c>
      <c r="O7" s="1" t="s">
        <v>32</v>
      </c>
      <c r="P7" s="1">
        <v>20</v>
      </c>
      <c r="Q7" s="6" t="s">
        <v>43</v>
      </c>
    </row>
    <row r="8" spans="1:17" ht="18" thickBot="1" x14ac:dyDescent="0.5">
      <c r="A8" s="1"/>
      <c r="B8" s="5" t="s">
        <v>34</v>
      </c>
      <c r="C8" s="1" t="s">
        <v>19</v>
      </c>
      <c r="D8" s="6" t="s">
        <v>14</v>
      </c>
      <c r="E8" s="1"/>
      <c r="F8" s="1">
        <v>3</v>
      </c>
      <c r="G8" s="1">
        <f t="shared" si="0"/>
        <v>3</v>
      </c>
      <c r="H8" s="32" t="s">
        <v>129</v>
      </c>
      <c r="I8" s="33" t="s">
        <v>143</v>
      </c>
      <c r="J8" s="34">
        <v>17</v>
      </c>
      <c r="K8" s="33" t="s">
        <v>156</v>
      </c>
      <c r="L8" s="36">
        <v>44211</v>
      </c>
      <c r="M8" s="1"/>
      <c r="N8" s="5" t="s">
        <v>45</v>
      </c>
      <c r="O8" s="1" t="s">
        <v>34</v>
      </c>
      <c r="P8" s="1">
        <v>20</v>
      </c>
      <c r="Q8" s="6" t="s">
        <v>30</v>
      </c>
    </row>
    <row r="9" spans="1:17" ht="18" thickBot="1" x14ac:dyDescent="0.5">
      <c r="A9" s="1"/>
      <c r="B9" s="5" t="s">
        <v>35</v>
      </c>
      <c r="C9" s="1" t="s">
        <v>20</v>
      </c>
      <c r="D9" s="6" t="s">
        <v>14</v>
      </c>
      <c r="E9" s="1"/>
      <c r="F9" s="1">
        <v>6</v>
      </c>
      <c r="G9" s="1">
        <f t="shared" si="0"/>
        <v>6</v>
      </c>
      <c r="H9" s="32" t="s">
        <v>130</v>
      </c>
      <c r="I9" s="33" t="s">
        <v>196</v>
      </c>
      <c r="J9" s="34">
        <v>44</v>
      </c>
      <c r="K9" s="33" t="s">
        <v>156</v>
      </c>
      <c r="L9" s="36">
        <v>44468</v>
      </c>
      <c r="M9" s="1"/>
      <c r="N9" s="5" t="s">
        <v>46</v>
      </c>
      <c r="O9" s="1" t="s">
        <v>39</v>
      </c>
      <c r="P9" s="1">
        <v>20</v>
      </c>
      <c r="Q9" s="6" t="s">
        <v>29</v>
      </c>
    </row>
    <row r="10" spans="1:17" ht="18" thickBot="1" x14ac:dyDescent="0.5">
      <c r="A10" s="1"/>
      <c r="B10" s="5" t="s">
        <v>36</v>
      </c>
      <c r="C10" s="1" t="s">
        <v>24</v>
      </c>
      <c r="D10" s="6" t="s">
        <v>15</v>
      </c>
      <c r="E10" s="1">
        <v>1</v>
      </c>
      <c r="F10" s="1">
        <v>2</v>
      </c>
      <c r="G10" s="1">
        <f t="shared" si="0"/>
        <v>3</v>
      </c>
      <c r="H10" s="32" t="s">
        <v>131</v>
      </c>
      <c r="I10" s="33" t="s">
        <v>149</v>
      </c>
      <c r="J10" s="34">
        <v>33</v>
      </c>
      <c r="K10" s="33" t="s">
        <v>156</v>
      </c>
      <c r="L10" s="36">
        <v>44738</v>
      </c>
      <c r="M10" s="1"/>
      <c r="N10" s="5" t="s">
        <v>47</v>
      </c>
      <c r="O10" s="1" t="s">
        <v>39</v>
      </c>
      <c r="P10" s="1">
        <v>10</v>
      </c>
      <c r="Q10" s="6" t="s">
        <v>30</v>
      </c>
    </row>
    <row r="11" spans="1:17" ht="18" thickBot="1" x14ac:dyDescent="0.5">
      <c r="A11" s="1"/>
      <c r="B11" s="5" t="s">
        <v>37</v>
      </c>
      <c r="C11" s="1" t="s">
        <v>22</v>
      </c>
      <c r="D11" s="6" t="s">
        <v>15</v>
      </c>
      <c r="E11" s="1"/>
      <c r="F11" s="1">
        <v>1</v>
      </c>
      <c r="G11" s="1">
        <f t="shared" si="0"/>
        <v>1</v>
      </c>
      <c r="H11" s="32" t="s">
        <v>132</v>
      </c>
      <c r="I11" s="33" t="s">
        <v>155</v>
      </c>
      <c r="J11" s="34">
        <v>35</v>
      </c>
      <c r="K11" s="33" t="s">
        <v>157</v>
      </c>
      <c r="L11" s="36">
        <v>45004</v>
      </c>
      <c r="M11" s="1"/>
      <c r="N11" s="5" t="s">
        <v>48</v>
      </c>
      <c r="O11" s="1" t="s">
        <v>33</v>
      </c>
      <c r="P11" s="1">
        <v>20</v>
      </c>
      <c r="Q11" s="6" t="s">
        <v>30</v>
      </c>
    </row>
    <row r="12" spans="1:17" ht="18" thickBot="1" x14ac:dyDescent="0.5">
      <c r="A12" s="1"/>
      <c r="B12" s="5" t="s">
        <v>38</v>
      </c>
      <c r="C12" s="1" t="s">
        <v>23</v>
      </c>
      <c r="D12" s="6" t="s">
        <v>15</v>
      </c>
      <c r="E12" s="1"/>
      <c r="F12" s="1">
        <v>1</v>
      </c>
      <c r="G12" s="1">
        <f t="shared" si="0"/>
        <v>1</v>
      </c>
      <c r="H12" s="32" t="s">
        <v>133</v>
      </c>
      <c r="I12" s="33" t="s">
        <v>145</v>
      </c>
      <c r="J12" s="34">
        <v>38</v>
      </c>
      <c r="K12" s="33" t="s">
        <v>156</v>
      </c>
      <c r="L12" s="36">
        <v>45019</v>
      </c>
      <c r="M12" s="1"/>
      <c r="N12" s="5" t="s">
        <v>49</v>
      </c>
      <c r="O12" s="1" t="s">
        <v>36</v>
      </c>
      <c r="P12" s="1">
        <v>20</v>
      </c>
      <c r="Q12" s="6" t="s">
        <v>30</v>
      </c>
    </row>
    <row r="13" spans="1:17" ht="18" thickBot="1" x14ac:dyDescent="0.5">
      <c r="A13" s="1"/>
      <c r="B13" s="5" t="s">
        <v>39</v>
      </c>
      <c r="C13" s="1" t="s">
        <v>25</v>
      </c>
      <c r="D13" s="6" t="s">
        <v>16</v>
      </c>
      <c r="E13" s="1">
        <v>2</v>
      </c>
      <c r="F13" s="1">
        <v>3</v>
      </c>
      <c r="G13" s="1">
        <f t="shared" si="0"/>
        <v>5</v>
      </c>
      <c r="H13" s="32" t="s">
        <v>134</v>
      </c>
      <c r="I13" s="33" t="s">
        <v>152</v>
      </c>
      <c r="J13" s="34">
        <v>31</v>
      </c>
      <c r="K13" s="33" t="s">
        <v>156</v>
      </c>
      <c r="L13" s="36">
        <v>45117</v>
      </c>
      <c r="M13" s="1"/>
      <c r="N13" s="5" t="s">
        <v>50</v>
      </c>
      <c r="O13" s="1" t="s">
        <v>35</v>
      </c>
      <c r="P13" s="1">
        <v>20</v>
      </c>
      <c r="Q13" s="6" t="s">
        <v>43</v>
      </c>
    </row>
    <row r="14" spans="1:17" ht="18" thickBot="1" x14ac:dyDescent="0.5">
      <c r="A14" s="1"/>
      <c r="B14" s="5" t="s">
        <v>40</v>
      </c>
      <c r="C14" s="1" t="s">
        <v>26</v>
      </c>
      <c r="D14" s="6" t="s">
        <v>16</v>
      </c>
      <c r="E14" s="1"/>
      <c r="F14" s="1"/>
      <c r="G14" s="1">
        <f t="shared" si="0"/>
        <v>0</v>
      </c>
      <c r="H14" s="32" t="s">
        <v>135</v>
      </c>
      <c r="I14" s="33" t="s">
        <v>147</v>
      </c>
      <c r="J14" s="34">
        <v>42</v>
      </c>
      <c r="K14" s="33" t="s">
        <v>156</v>
      </c>
      <c r="L14" s="36">
        <v>45246</v>
      </c>
      <c r="M14" s="1"/>
      <c r="N14" s="5" t="s">
        <v>51</v>
      </c>
      <c r="O14" s="1" t="s">
        <v>32</v>
      </c>
      <c r="P14" s="1">
        <v>20</v>
      </c>
      <c r="Q14" s="6" t="s">
        <v>30</v>
      </c>
    </row>
    <row r="15" spans="1:17" ht="18" thickBot="1" x14ac:dyDescent="0.5">
      <c r="A15" s="1"/>
      <c r="B15" s="8" t="s">
        <v>41</v>
      </c>
      <c r="C15" s="9" t="s">
        <v>27</v>
      </c>
      <c r="D15" s="10" t="s">
        <v>16</v>
      </c>
      <c r="E15" s="1"/>
      <c r="F15" s="1">
        <v>2</v>
      </c>
      <c r="G15" s="1">
        <f t="shared" si="0"/>
        <v>2</v>
      </c>
      <c r="H15" s="32" t="s">
        <v>136</v>
      </c>
      <c r="I15" s="33" t="s">
        <v>153</v>
      </c>
      <c r="J15" s="34">
        <v>19</v>
      </c>
      <c r="K15" s="33" t="s">
        <v>157</v>
      </c>
      <c r="L15" s="36">
        <v>45400</v>
      </c>
      <c r="M15" s="1"/>
      <c r="N15" s="5" t="s">
        <v>52</v>
      </c>
      <c r="O15" s="1" t="s">
        <v>34</v>
      </c>
      <c r="P15" s="1">
        <v>20</v>
      </c>
      <c r="Q15" s="6" t="s">
        <v>30</v>
      </c>
    </row>
    <row r="16" spans="1:17" ht="18" thickBot="1" x14ac:dyDescent="0.5">
      <c r="A16" s="1"/>
      <c r="B16" s="1"/>
      <c r="C16" s="1"/>
      <c r="D16" s="1"/>
      <c r="E16" s="1"/>
      <c r="F16" s="1"/>
      <c r="G16" s="1"/>
      <c r="H16" s="32" t="s">
        <v>137</v>
      </c>
      <c r="I16" s="33" t="s">
        <v>146</v>
      </c>
      <c r="J16" s="34">
        <v>26</v>
      </c>
      <c r="K16" s="33" t="s">
        <v>157</v>
      </c>
      <c r="L16" s="36">
        <v>45495</v>
      </c>
      <c r="M16" s="1"/>
      <c r="N16" s="5" t="s">
        <v>53</v>
      </c>
      <c r="O16" s="1" t="s">
        <v>36</v>
      </c>
      <c r="P16" s="1">
        <v>20</v>
      </c>
      <c r="Q16" s="6" t="s">
        <v>30</v>
      </c>
    </row>
    <row r="17" spans="1:17" ht="18" thickBot="1" x14ac:dyDescent="0.5">
      <c r="A17" s="1"/>
      <c r="B17" s="1"/>
      <c r="C17" s="1"/>
      <c r="D17" s="1"/>
      <c r="E17" s="1"/>
      <c r="F17" s="1"/>
      <c r="G17" s="1"/>
      <c r="H17" s="32" t="s">
        <v>138</v>
      </c>
      <c r="I17" s="33" t="s">
        <v>148</v>
      </c>
      <c r="J17" s="34">
        <v>30</v>
      </c>
      <c r="K17" s="33" t="s">
        <v>157</v>
      </c>
      <c r="L17" s="36">
        <v>45534</v>
      </c>
      <c r="M17" s="1"/>
      <c r="N17" s="5" t="s">
        <v>54</v>
      </c>
      <c r="O17" s="1" t="s">
        <v>32</v>
      </c>
      <c r="P17" s="1">
        <v>10</v>
      </c>
      <c r="Q17" s="6" t="s">
        <v>30</v>
      </c>
    </row>
    <row r="18" spans="1:17" ht="18" thickBot="1" x14ac:dyDescent="0.5">
      <c r="A18" s="1"/>
      <c r="B18" s="1"/>
      <c r="C18" s="1"/>
      <c r="D18" s="1"/>
      <c r="E18" s="1"/>
      <c r="F18" s="1"/>
      <c r="G18" s="1"/>
      <c r="H18" s="32" t="s">
        <v>139</v>
      </c>
      <c r="I18" s="33" t="s">
        <v>144</v>
      </c>
      <c r="J18" s="34">
        <v>33</v>
      </c>
      <c r="K18" s="33" t="s">
        <v>157</v>
      </c>
      <c r="L18" s="36">
        <v>45697</v>
      </c>
      <c r="M18" s="1"/>
      <c r="N18" s="5" t="s">
        <v>55</v>
      </c>
      <c r="O18" s="1" t="s">
        <v>35</v>
      </c>
      <c r="P18" s="1">
        <v>20</v>
      </c>
      <c r="Q18" s="6" t="s">
        <v>30</v>
      </c>
    </row>
    <row r="19" spans="1:17" ht="18" thickBot="1" x14ac:dyDescent="0.5">
      <c r="A19" s="1"/>
      <c r="B19" s="1"/>
      <c r="C19" s="1"/>
      <c r="D19" s="1"/>
      <c r="E19" s="1"/>
      <c r="F19" s="1"/>
      <c r="G19" s="1"/>
      <c r="H19" s="32" t="s">
        <v>140</v>
      </c>
      <c r="I19" s="33" t="s">
        <v>154</v>
      </c>
      <c r="J19" s="34">
        <v>42</v>
      </c>
      <c r="K19" s="33" t="s">
        <v>156</v>
      </c>
      <c r="L19" s="36">
        <v>45926</v>
      </c>
      <c r="M19" s="1"/>
      <c r="N19" s="5" t="s">
        <v>56</v>
      </c>
      <c r="O19" s="1" t="s">
        <v>37</v>
      </c>
      <c r="P19" s="1">
        <v>20</v>
      </c>
      <c r="Q19" s="6" t="s">
        <v>30</v>
      </c>
    </row>
    <row r="20" spans="1:17" ht="18" thickBot="1" x14ac:dyDescent="0.5">
      <c r="A20" s="1"/>
      <c r="B20" s="1"/>
      <c r="C20" s="1"/>
      <c r="D20" s="1"/>
      <c r="E20" s="1"/>
      <c r="F20" s="1"/>
      <c r="G20" s="1"/>
      <c r="H20" s="35" t="s">
        <v>141</v>
      </c>
      <c r="I20" s="37" t="s">
        <v>150</v>
      </c>
      <c r="J20" s="38">
        <v>25</v>
      </c>
      <c r="K20" s="37" t="s">
        <v>156</v>
      </c>
      <c r="L20" s="39">
        <v>45954</v>
      </c>
      <c r="M20" s="1"/>
      <c r="N20" s="5" t="s">
        <v>57</v>
      </c>
      <c r="O20" s="1" t="s">
        <v>33</v>
      </c>
      <c r="P20" s="1">
        <v>20</v>
      </c>
      <c r="Q20" s="6" t="s">
        <v>30</v>
      </c>
    </row>
    <row r="21" spans="1:17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" t="s">
        <v>58</v>
      </c>
      <c r="O21" s="1" t="s">
        <v>39</v>
      </c>
      <c r="P21" s="1">
        <v>20</v>
      </c>
      <c r="Q21" s="6" t="s">
        <v>30</v>
      </c>
    </row>
    <row r="22" spans="1:17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 t="s">
        <v>59</v>
      </c>
      <c r="O22" s="1" t="s">
        <v>32</v>
      </c>
      <c r="P22" s="1">
        <v>20</v>
      </c>
      <c r="Q22" s="6" t="s">
        <v>30</v>
      </c>
    </row>
    <row r="23" spans="1:17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5" t="s">
        <v>60</v>
      </c>
      <c r="O23" s="1" t="s">
        <v>35</v>
      </c>
      <c r="P23" s="1">
        <v>20</v>
      </c>
      <c r="Q23" s="6" t="s">
        <v>29</v>
      </c>
    </row>
    <row r="24" spans="1:17" ht="17.5" thickBot="1" x14ac:dyDescent="0.5">
      <c r="A24" s="41" t="s">
        <v>86</v>
      </c>
      <c r="B24" s="41"/>
      <c r="C24" s="41"/>
      <c r="D24" s="41"/>
      <c r="E24" s="41"/>
      <c r="F24" s="41"/>
      <c r="G24" s="41"/>
      <c r="H24" s="41"/>
      <c r="I24" s="1"/>
      <c r="J24" s="1"/>
      <c r="K24" s="1"/>
      <c r="L24" s="1"/>
      <c r="M24" s="1"/>
      <c r="N24" s="5" t="s">
        <v>61</v>
      </c>
      <c r="O24" s="1" t="s">
        <v>35</v>
      </c>
      <c r="P24" s="1">
        <v>20</v>
      </c>
      <c r="Q24" s="6" t="s">
        <v>30</v>
      </c>
    </row>
    <row r="25" spans="1:17" x14ac:dyDescent="0.45">
      <c r="A25" s="2" t="s">
        <v>172</v>
      </c>
      <c r="B25" s="3" t="s">
        <v>4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13</v>
      </c>
      <c r="H25" s="4" t="s">
        <v>123</v>
      </c>
      <c r="I25" s="1"/>
      <c r="J25" s="1"/>
      <c r="K25" s="1"/>
      <c r="L25" s="1"/>
      <c r="M25" s="1"/>
      <c r="N25" s="5" t="s">
        <v>62</v>
      </c>
      <c r="O25" s="1" t="s">
        <v>36</v>
      </c>
      <c r="P25" s="1">
        <v>10</v>
      </c>
      <c r="Q25" s="6" t="s">
        <v>30</v>
      </c>
    </row>
    <row r="26" spans="1:17" x14ac:dyDescent="0.45">
      <c r="A26" s="5" t="s">
        <v>173</v>
      </c>
      <c r="B26" s="1" t="s">
        <v>130</v>
      </c>
      <c r="C26" s="11" t="s">
        <v>48</v>
      </c>
      <c r="D26" s="11" t="s">
        <v>78</v>
      </c>
      <c r="E26" s="11" t="s">
        <v>77</v>
      </c>
      <c r="F26" s="12">
        <v>0.27638888888888891</v>
      </c>
      <c r="G26" s="12">
        <v>0.30208333333333331</v>
      </c>
      <c r="H26" s="6">
        <v>1000</v>
      </c>
      <c r="I26" s="1"/>
      <c r="J26" s="1" t="s">
        <v>206</v>
      </c>
      <c r="K26" s="1"/>
      <c r="L26" s="1"/>
      <c r="M26" s="1"/>
      <c r="N26" s="5" t="s">
        <v>63</v>
      </c>
      <c r="O26" s="1" t="s">
        <v>38</v>
      </c>
      <c r="P26" s="1">
        <v>20</v>
      </c>
      <c r="Q26" s="6" t="s">
        <v>30</v>
      </c>
    </row>
    <row r="27" spans="1:17" x14ac:dyDescent="0.45">
      <c r="A27" s="5" t="s">
        <v>192</v>
      </c>
      <c r="B27" s="1" t="s">
        <v>214</v>
      </c>
      <c r="C27" s="11" t="s">
        <v>57</v>
      </c>
      <c r="D27" s="11" t="s">
        <v>78</v>
      </c>
      <c r="E27" s="11" t="s">
        <v>81</v>
      </c>
      <c r="F27" s="12">
        <v>0.29305555555555557</v>
      </c>
      <c r="G27" s="12">
        <v>0.31944444444444442</v>
      </c>
      <c r="H27" s="6">
        <v>2000</v>
      </c>
      <c r="I27" s="1"/>
      <c r="J27" s="1" t="s">
        <v>206</v>
      </c>
      <c r="K27" s="1"/>
      <c r="L27" s="1"/>
      <c r="M27" s="1"/>
      <c r="N27" s="5" t="s">
        <v>64</v>
      </c>
      <c r="O27" s="1" t="s">
        <v>32</v>
      </c>
      <c r="P27" s="1">
        <v>20</v>
      </c>
      <c r="Q27" s="6" t="s">
        <v>30</v>
      </c>
    </row>
    <row r="28" spans="1:17" x14ac:dyDescent="0.45">
      <c r="A28" s="5" t="s">
        <v>174</v>
      </c>
      <c r="B28" s="1" t="s">
        <v>132</v>
      </c>
      <c r="C28" s="11" t="s">
        <v>63</v>
      </c>
      <c r="D28" s="11" t="s">
        <v>83</v>
      </c>
      <c r="E28" s="11" t="s">
        <v>205</v>
      </c>
      <c r="F28" s="12">
        <v>0.29930555555555555</v>
      </c>
      <c r="G28" s="12">
        <v>0.31388888888888888</v>
      </c>
      <c r="H28" s="6">
        <v>1000</v>
      </c>
      <c r="I28" s="1"/>
      <c r="J28" s="1" t="s">
        <v>206</v>
      </c>
      <c r="K28" s="1"/>
      <c r="L28" s="1"/>
      <c r="M28" s="1"/>
      <c r="N28" s="5" t="s">
        <v>65</v>
      </c>
      <c r="O28" s="1" t="s">
        <v>32</v>
      </c>
      <c r="P28" s="1">
        <v>20</v>
      </c>
      <c r="Q28" s="6" t="s">
        <v>30</v>
      </c>
    </row>
    <row r="29" spans="1:17" x14ac:dyDescent="0.45">
      <c r="A29" s="5" t="s">
        <v>175</v>
      </c>
      <c r="B29" s="1" t="s">
        <v>215</v>
      </c>
      <c r="C29" s="11" t="s">
        <v>68</v>
      </c>
      <c r="D29" s="11" t="s">
        <v>85</v>
      </c>
      <c r="E29" s="11" t="s">
        <v>77</v>
      </c>
      <c r="F29" s="12">
        <v>0.30208333333333331</v>
      </c>
      <c r="G29" s="12">
        <v>0.3298611111111111</v>
      </c>
      <c r="H29" s="6">
        <v>1000</v>
      </c>
      <c r="I29" s="1"/>
      <c r="J29" s="1" t="s">
        <v>206</v>
      </c>
      <c r="K29" s="1"/>
      <c r="L29" s="1"/>
      <c r="M29" s="1"/>
      <c r="N29" s="5" t="s">
        <v>66</v>
      </c>
      <c r="O29" s="1" t="s">
        <v>39</v>
      </c>
      <c r="P29" s="1">
        <v>20</v>
      </c>
      <c r="Q29" s="6" t="s">
        <v>30</v>
      </c>
    </row>
    <row r="30" spans="1:17" x14ac:dyDescent="0.45">
      <c r="A30" s="5" t="s">
        <v>176</v>
      </c>
      <c r="B30" s="1" t="s">
        <v>216</v>
      </c>
      <c r="C30" s="11" t="s">
        <v>204</v>
      </c>
      <c r="D30" s="11" t="s">
        <v>77</v>
      </c>
      <c r="E30" s="11" t="s">
        <v>79</v>
      </c>
      <c r="F30" s="12">
        <v>0.31111111111111112</v>
      </c>
      <c r="G30" s="12">
        <v>0.32291666666666669</v>
      </c>
      <c r="H30" s="6">
        <v>1000</v>
      </c>
      <c r="I30" s="1"/>
      <c r="J30" s="1" t="s">
        <v>207</v>
      </c>
      <c r="K30" s="1"/>
      <c r="L30" s="1"/>
      <c r="M30" s="1"/>
      <c r="N30" s="5" t="s">
        <v>67</v>
      </c>
      <c r="O30" s="1" t="s">
        <v>35</v>
      </c>
      <c r="P30" s="1">
        <v>20</v>
      </c>
      <c r="Q30" s="6" t="s">
        <v>30</v>
      </c>
    </row>
    <row r="31" spans="1:17" x14ac:dyDescent="0.45">
      <c r="A31" s="5" t="s">
        <v>177</v>
      </c>
      <c r="B31" s="1" t="s">
        <v>137</v>
      </c>
      <c r="C31" s="11" t="s">
        <v>72</v>
      </c>
      <c r="D31" s="11" t="s">
        <v>79</v>
      </c>
      <c r="E31" s="11" t="s">
        <v>82</v>
      </c>
      <c r="F31" s="12">
        <v>0.31180555555555556</v>
      </c>
      <c r="G31" s="12">
        <v>0.33888888888888891</v>
      </c>
      <c r="H31" s="6">
        <v>1000</v>
      </c>
      <c r="I31" s="1"/>
      <c r="J31" s="1" t="s">
        <v>206</v>
      </c>
      <c r="K31" s="1"/>
      <c r="L31" s="1"/>
      <c r="M31" s="1"/>
      <c r="N31" s="5" t="s">
        <v>68</v>
      </c>
      <c r="O31" s="1" t="s">
        <v>41</v>
      </c>
      <c r="P31" s="1">
        <v>20</v>
      </c>
      <c r="Q31" s="6" t="s">
        <v>30</v>
      </c>
    </row>
    <row r="32" spans="1:17" x14ac:dyDescent="0.45">
      <c r="A32" s="5" t="s">
        <v>178</v>
      </c>
      <c r="B32" s="1" t="s">
        <v>217</v>
      </c>
      <c r="C32" s="11" t="s">
        <v>56</v>
      </c>
      <c r="D32" s="11" t="s">
        <v>82</v>
      </c>
      <c r="E32" s="11" t="s">
        <v>78</v>
      </c>
      <c r="F32" s="12">
        <v>0.35555555555555557</v>
      </c>
      <c r="G32" s="12">
        <v>0.37361111111111112</v>
      </c>
      <c r="H32" s="6">
        <v>1000</v>
      </c>
      <c r="I32" s="1"/>
      <c r="J32" s="1" t="s">
        <v>206</v>
      </c>
      <c r="K32" s="1"/>
      <c r="L32" s="1"/>
      <c r="M32" s="1"/>
      <c r="N32" s="5" t="s">
        <v>69</v>
      </c>
      <c r="O32" s="1" t="s">
        <v>35</v>
      </c>
      <c r="P32" s="1">
        <v>20</v>
      </c>
      <c r="Q32" s="6" t="s">
        <v>29</v>
      </c>
    </row>
    <row r="33" spans="1:17" x14ac:dyDescent="0.45">
      <c r="A33" s="5" t="s">
        <v>179</v>
      </c>
      <c r="B33" s="1" t="s">
        <v>218</v>
      </c>
      <c r="C33" s="11" t="s">
        <v>70</v>
      </c>
      <c r="D33" s="11" t="s">
        <v>85</v>
      </c>
      <c r="E33" s="11" t="s">
        <v>81</v>
      </c>
      <c r="F33" s="12">
        <v>0.3659722222222222</v>
      </c>
      <c r="G33" s="12">
        <v>0.38541666666666669</v>
      </c>
      <c r="H33" s="6">
        <v>1000</v>
      </c>
      <c r="I33" s="1"/>
      <c r="J33" s="1" t="s">
        <v>206</v>
      </c>
      <c r="K33" s="1"/>
      <c r="L33" s="1"/>
      <c r="M33" s="1"/>
      <c r="N33" s="5" t="s">
        <v>70</v>
      </c>
      <c r="O33" s="1" t="s">
        <v>41</v>
      </c>
      <c r="P33" s="1">
        <v>20</v>
      </c>
      <c r="Q33" s="6" t="s">
        <v>30</v>
      </c>
    </row>
    <row r="34" spans="1:17" x14ac:dyDescent="0.45">
      <c r="A34" s="5" t="s">
        <v>180</v>
      </c>
      <c r="B34" s="1" t="s">
        <v>219</v>
      </c>
      <c r="C34" s="11" t="s">
        <v>204</v>
      </c>
      <c r="D34" s="11" t="s">
        <v>79</v>
      </c>
      <c r="E34" s="11" t="s">
        <v>85</v>
      </c>
      <c r="F34" s="12">
        <v>0.43888888888888888</v>
      </c>
      <c r="G34" s="12">
        <v>0.52430555555555558</v>
      </c>
      <c r="H34" s="6">
        <v>2000</v>
      </c>
      <c r="I34" s="1"/>
      <c r="J34" s="1" t="s">
        <v>207</v>
      </c>
      <c r="K34" s="1"/>
      <c r="L34" s="1"/>
      <c r="M34" s="1"/>
      <c r="N34" s="5" t="s">
        <v>71</v>
      </c>
      <c r="O34" s="1" t="s">
        <v>39</v>
      </c>
      <c r="P34" s="1">
        <v>10</v>
      </c>
      <c r="Q34" s="6" t="s">
        <v>30</v>
      </c>
    </row>
    <row r="35" spans="1:17" ht="17.5" thickBot="1" x14ac:dyDescent="0.5">
      <c r="A35" s="5" t="s">
        <v>181</v>
      </c>
      <c r="B35" s="1" t="s">
        <v>220</v>
      </c>
      <c r="C35" s="11" t="s">
        <v>67</v>
      </c>
      <c r="D35" s="11" t="s">
        <v>80</v>
      </c>
      <c r="E35" s="11" t="s">
        <v>82</v>
      </c>
      <c r="F35" s="12">
        <v>0.50277777777777777</v>
      </c>
      <c r="G35" s="12">
        <v>0.52083333333333337</v>
      </c>
      <c r="H35" s="6">
        <v>1000</v>
      </c>
      <c r="I35" s="1"/>
      <c r="J35" s="1" t="s">
        <v>206</v>
      </c>
      <c r="K35" s="1"/>
      <c r="L35" s="1"/>
      <c r="M35" s="1"/>
      <c r="N35" s="8" t="s">
        <v>72</v>
      </c>
      <c r="O35" s="9" t="s">
        <v>34</v>
      </c>
      <c r="P35" s="9">
        <v>20</v>
      </c>
      <c r="Q35" s="10" t="s">
        <v>30</v>
      </c>
    </row>
    <row r="36" spans="1:17" x14ac:dyDescent="0.45">
      <c r="A36" s="5" t="s">
        <v>182</v>
      </c>
      <c r="B36" s="1" t="s">
        <v>221</v>
      </c>
      <c r="C36" s="11" t="s">
        <v>71</v>
      </c>
      <c r="D36" s="11" t="s">
        <v>84</v>
      </c>
      <c r="E36" s="11" t="s">
        <v>85</v>
      </c>
      <c r="F36" s="12">
        <v>0.52500000000000002</v>
      </c>
      <c r="G36" s="12">
        <v>0.54305555555555551</v>
      </c>
      <c r="H36" s="6">
        <v>1000</v>
      </c>
      <c r="I36" s="1"/>
      <c r="J36" s="1" t="s">
        <v>207</v>
      </c>
      <c r="K36" s="1"/>
      <c r="M36" s="1"/>
      <c r="N36" s="1"/>
      <c r="O36" s="1"/>
      <c r="P36" s="1"/>
      <c r="Q36" s="1"/>
    </row>
    <row r="37" spans="1:17" x14ac:dyDescent="0.45">
      <c r="A37" s="5" t="s">
        <v>183</v>
      </c>
      <c r="B37" s="1" t="s">
        <v>221</v>
      </c>
      <c r="C37" s="11" t="s">
        <v>71</v>
      </c>
      <c r="D37" s="11" t="s">
        <v>85</v>
      </c>
      <c r="E37" s="11" t="s">
        <v>159</v>
      </c>
      <c r="F37" s="12">
        <v>0.55000000000000004</v>
      </c>
      <c r="G37" s="12">
        <v>0.57847222222222228</v>
      </c>
      <c r="H37" s="6">
        <v>1000</v>
      </c>
      <c r="I37" s="1"/>
      <c r="J37" s="1" t="s">
        <v>207</v>
      </c>
      <c r="K37" s="1"/>
      <c r="L37" s="1"/>
      <c r="M37" s="1"/>
      <c r="N37" s="1"/>
      <c r="O37" s="1"/>
      <c r="P37" s="1"/>
      <c r="Q37" s="1"/>
    </row>
    <row r="38" spans="1:17" x14ac:dyDescent="0.45">
      <c r="A38" s="5" t="s">
        <v>184</v>
      </c>
      <c r="B38" s="1" t="s">
        <v>134</v>
      </c>
      <c r="C38" s="11" t="s">
        <v>66</v>
      </c>
      <c r="D38" s="11" t="s">
        <v>84</v>
      </c>
      <c r="E38" s="11" t="s">
        <v>82</v>
      </c>
      <c r="F38" s="12">
        <v>0.74236111111111114</v>
      </c>
      <c r="G38" s="12">
        <v>0.79513888888888884</v>
      </c>
      <c r="H38" s="6">
        <v>1000</v>
      </c>
      <c r="I38" s="1"/>
      <c r="J38" s="1" t="s">
        <v>206</v>
      </c>
      <c r="K38" s="1"/>
      <c r="L38" s="1"/>
      <c r="M38" s="1"/>
      <c r="N38" s="1"/>
      <c r="O38" s="1"/>
      <c r="P38" s="1"/>
      <c r="Q38" s="1"/>
    </row>
    <row r="39" spans="1:17" x14ac:dyDescent="0.45">
      <c r="A39" s="5" t="s">
        <v>185</v>
      </c>
      <c r="B39" s="1" t="s">
        <v>141</v>
      </c>
      <c r="C39" s="11" t="s">
        <v>61</v>
      </c>
      <c r="D39" s="11" t="s">
        <v>80</v>
      </c>
      <c r="E39" s="11" t="s">
        <v>36</v>
      </c>
      <c r="F39" s="12">
        <v>0.74652777777777779</v>
      </c>
      <c r="G39" s="12">
        <v>0.8125</v>
      </c>
      <c r="H39" s="6">
        <v>2000</v>
      </c>
      <c r="I39" s="1"/>
      <c r="J39" s="1" t="s">
        <v>206</v>
      </c>
      <c r="K39" s="1"/>
      <c r="L39" s="1"/>
      <c r="M39" s="1"/>
      <c r="N39" s="1"/>
      <c r="O39" s="1"/>
      <c r="P39" s="1"/>
      <c r="Q39" s="1"/>
    </row>
    <row r="40" spans="1:17" x14ac:dyDescent="0.45">
      <c r="A40" s="5" t="s">
        <v>186</v>
      </c>
      <c r="B40" s="1" t="s">
        <v>222</v>
      </c>
      <c r="C40" s="11" t="s">
        <v>72</v>
      </c>
      <c r="D40" s="11" t="s">
        <v>82</v>
      </c>
      <c r="E40" s="11" t="s">
        <v>85</v>
      </c>
      <c r="F40" s="12">
        <v>0.74930555555555556</v>
      </c>
      <c r="G40" s="12">
        <v>0.78194444444444444</v>
      </c>
      <c r="H40" s="6">
        <v>1000</v>
      </c>
      <c r="I40" s="1"/>
      <c r="J40" s="1" t="s">
        <v>206</v>
      </c>
      <c r="K40" s="1"/>
      <c r="L40" s="1"/>
      <c r="M40" s="1"/>
      <c r="N40" s="1"/>
      <c r="O40" s="1"/>
      <c r="P40" s="1"/>
      <c r="Q40" s="1"/>
    </row>
    <row r="41" spans="1:17" x14ac:dyDescent="0.45">
      <c r="A41" s="5" t="s">
        <v>187</v>
      </c>
      <c r="B41" s="1" t="s">
        <v>129</v>
      </c>
      <c r="C41" s="11" t="s">
        <v>58</v>
      </c>
      <c r="D41" s="11" t="s">
        <v>84</v>
      </c>
      <c r="E41" s="11" t="s">
        <v>83</v>
      </c>
      <c r="F41" s="12">
        <v>0.75208333333333333</v>
      </c>
      <c r="G41" s="12">
        <v>0.82847222222222228</v>
      </c>
      <c r="H41" s="6">
        <v>1000</v>
      </c>
      <c r="I41" s="1"/>
      <c r="J41" s="1" t="s">
        <v>206</v>
      </c>
      <c r="K41" s="1"/>
      <c r="L41" s="1"/>
      <c r="M41" s="1"/>
      <c r="N41" s="1"/>
      <c r="O41" s="1"/>
      <c r="P41" s="1"/>
      <c r="Q41" s="1"/>
    </row>
    <row r="42" spans="1:17" x14ac:dyDescent="0.45">
      <c r="A42" s="5" t="s">
        <v>188</v>
      </c>
      <c r="B42" s="1" t="s">
        <v>218</v>
      </c>
      <c r="C42" s="11" t="s">
        <v>47</v>
      </c>
      <c r="D42" s="11" t="s">
        <v>84</v>
      </c>
      <c r="E42" s="11" t="s">
        <v>79</v>
      </c>
      <c r="F42" s="12">
        <v>0.75486111111111109</v>
      </c>
      <c r="G42" s="12">
        <v>0.84652777777777777</v>
      </c>
      <c r="H42" s="6">
        <v>2000</v>
      </c>
      <c r="I42" s="1"/>
      <c r="J42" s="1" t="s">
        <v>207</v>
      </c>
      <c r="K42" s="1"/>
      <c r="L42" s="1"/>
      <c r="M42" s="1"/>
      <c r="N42" s="1"/>
      <c r="O42" s="1"/>
      <c r="P42" s="1"/>
      <c r="Q42" s="1"/>
    </row>
    <row r="43" spans="1:17" x14ac:dyDescent="0.45">
      <c r="A43" s="5" t="s">
        <v>189</v>
      </c>
      <c r="B43" s="1" t="s">
        <v>136</v>
      </c>
      <c r="C43" s="11" t="s">
        <v>71</v>
      </c>
      <c r="D43" s="11" t="s">
        <v>159</v>
      </c>
      <c r="E43" s="11" t="s">
        <v>82</v>
      </c>
      <c r="F43" s="12">
        <v>0.76249999999999996</v>
      </c>
      <c r="G43" s="12">
        <v>0.80694444444444446</v>
      </c>
      <c r="H43" s="6">
        <v>1000</v>
      </c>
      <c r="I43" s="1"/>
      <c r="J43" s="1" t="s">
        <v>207</v>
      </c>
      <c r="K43" s="1"/>
      <c r="L43" s="1"/>
      <c r="M43" s="1"/>
      <c r="N43" s="1"/>
      <c r="O43" s="1"/>
      <c r="P43" s="1"/>
      <c r="Q43" s="1"/>
    </row>
    <row r="44" spans="1:17" x14ac:dyDescent="0.45">
      <c r="A44" s="5" t="s">
        <v>190</v>
      </c>
      <c r="B44" s="1" t="s">
        <v>131</v>
      </c>
      <c r="C44" s="11" t="s">
        <v>52</v>
      </c>
      <c r="D44" s="11" t="s">
        <v>79</v>
      </c>
      <c r="E44" s="11" t="s">
        <v>78</v>
      </c>
      <c r="F44" s="12">
        <v>0.7631944444444444</v>
      </c>
      <c r="G44" s="12">
        <v>0.77361111111111114</v>
      </c>
      <c r="H44" s="6">
        <v>1000</v>
      </c>
      <c r="I44" s="1"/>
      <c r="J44" s="1" t="s">
        <v>206</v>
      </c>
      <c r="K44" s="1"/>
      <c r="L44" s="1"/>
      <c r="M44" s="1"/>
      <c r="N44" s="1"/>
      <c r="O44" s="1"/>
      <c r="P44" s="1"/>
      <c r="Q44" s="1"/>
    </row>
    <row r="45" spans="1:17" ht="17.5" thickBot="1" x14ac:dyDescent="0.5">
      <c r="A45" s="8" t="s">
        <v>191</v>
      </c>
      <c r="B45" s="9" t="s">
        <v>139</v>
      </c>
      <c r="C45" s="13" t="s">
        <v>49</v>
      </c>
      <c r="D45" s="13" t="s">
        <v>81</v>
      </c>
      <c r="E45" s="13" t="s">
        <v>84</v>
      </c>
      <c r="F45" s="14">
        <v>0.8125</v>
      </c>
      <c r="G45" s="14">
        <v>0.87638888888888888</v>
      </c>
      <c r="H45" s="10">
        <v>2000</v>
      </c>
      <c r="I45" s="1"/>
      <c r="J45" s="1" t="s">
        <v>206</v>
      </c>
      <c r="K45" s="1"/>
      <c r="L45" s="1"/>
      <c r="M45" s="1"/>
      <c r="N45" s="1"/>
      <c r="O45" s="1"/>
      <c r="P45" s="1"/>
      <c r="Q45" s="1"/>
    </row>
    <row r="46" spans="1:17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45">
      <c r="A52" s="1"/>
      <c r="B52" s="1" t="s">
        <v>223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7.5" thickBot="1" x14ac:dyDescent="0.5">
      <c r="A53" s="1"/>
      <c r="B53" s="1"/>
      <c r="C53" s="15" t="s">
        <v>160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7.5" thickBot="1" x14ac:dyDescent="0.5">
      <c r="A54" s="1"/>
      <c r="B54" s="16" t="s">
        <v>87</v>
      </c>
      <c r="C54" s="17" t="s">
        <v>88</v>
      </c>
      <c r="D54" s="17" t="s">
        <v>89</v>
      </c>
      <c r="E54" s="17" t="s">
        <v>90</v>
      </c>
      <c r="F54" s="17" t="s">
        <v>91</v>
      </c>
      <c r="G54" s="17" t="s">
        <v>92</v>
      </c>
      <c r="H54" s="18" t="s">
        <v>93</v>
      </c>
      <c r="I54" s="1"/>
      <c r="J54" s="1"/>
      <c r="K54" s="1"/>
      <c r="L54" s="1"/>
      <c r="M54" s="1"/>
      <c r="N54" s="1"/>
      <c r="O54" s="1"/>
      <c r="P54" s="1"/>
      <c r="Q54" s="1"/>
    </row>
    <row r="55" spans="1:17" ht="17.5" thickBot="1" x14ac:dyDescent="0.5">
      <c r="A55" s="1"/>
      <c r="B55" s="19" t="s">
        <v>94</v>
      </c>
      <c r="C55" s="7" t="s">
        <v>124</v>
      </c>
      <c r="D55" s="7" t="s">
        <v>195</v>
      </c>
      <c r="E55" s="7" t="s">
        <v>96</v>
      </c>
      <c r="F55" s="7" t="s">
        <v>96</v>
      </c>
      <c r="G55" s="7"/>
      <c r="H55" s="6"/>
      <c r="I55" s="1"/>
      <c r="J55" s="1"/>
      <c r="K55" s="1"/>
      <c r="L55" s="1"/>
      <c r="M55" s="1"/>
      <c r="N55" s="1"/>
      <c r="O55" s="1"/>
      <c r="P55" s="1"/>
      <c r="Q55" s="1"/>
    </row>
    <row r="56" spans="1:17" ht="17.5" thickBot="1" x14ac:dyDescent="0.5">
      <c r="A56" s="1"/>
      <c r="B56" s="19" t="s">
        <v>97</v>
      </c>
      <c r="C56" s="7" t="s">
        <v>125</v>
      </c>
      <c r="D56" s="7" t="s">
        <v>98</v>
      </c>
      <c r="E56" s="7" t="s">
        <v>96</v>
      </c>
      <c r="F56" s="7"/>
      <c r="H56" s="20"/>
      <c r="I56" s="1"/>
      <c r="J56" s="1"/>
      <c r="K56" s="1"/>
      <c r="L56" s="1"/>
      <c r="M56" s="1"/>
      <c r="N56" s="1"/>
      <c r="O56" s="1"/>
      <c r="P56" s="1"/>
      <c r="Q56" s="1"/>
    </row>
    <row r="57" spans="1:17" ht="17.5" thickBot="1" x14ac:dyDescent="0.5">
      <c r="A57" s="1"/>
      <c r="B57" s="21" t="s">
        <v>99</v>
      </c>
      <c r="C57" s="22" t="s">
        <v>126</v>
      </c>
      <c r="D57" s="22" t="s">
        <v>100</v>
      </c>
      <c r="E57" s="22" t="s">
        <v>96</v>
      </c>
      <c r="F57" s="22"/>
      <c r="G57" s="7"/>
      <c r="H57" s="23"/>
      <c r="I57" s="1"/>
      <c r="J57" s="1"/>
      <c r="K57" s="1"/>
      <c r="L57" s="1"/>
      <c r="M57" s="1"/>
      <c r="N57" s="1"/>
      <c r="O57" s="1"/>
      <c r="P57" s="1"/>
      <c r="Q57" s="1"/>
    </row>
    <row r="58" spans="1:17" ht="17.5" thickBot="1" x14ac:dyDescent="0.5">
      <c r="A58" s="1"/>
      <c r="B58" s="1"/>
      <c r="C58" s="24" t="s">
        <v>161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7.5" thickBot="1" x14ac:dyDescent="0.5">
      <c r="A59" s="1"/>
      <c r="B59" s="16" t="s">
        <v>87</v>
      </c>
      <c r="C59" s="17" t="s">
        <v>88</v>
      </c>
      <c r="D59" s="17" t="s">
        <v>89</v>
      </c>
      <c r="E59" s="17" t="s">
        <v>90</v>
      </c>
      <c r="F59" s="17" t="s">
        <v>91</v>
      </c>
      <c r="G59" s="17" t="s">
        <v>92</v>
      </c>
      <c r="H59" s="18" t="s">
        <v>93</v>
      </c>
      <c r="I59" s="1"/>
      <c r="J59" s="1"/>
      <c r="K59" s="1"/>
      <c r="L59" s="1"/>
      <c r="M59" s="1"/>
      <c r="N59" s="1"/>
      <c r="O59" s="1"/>
      <c r="P59" s="1"/>
      <c r="Q59" s="1"/>
    </row>
    <row r="60" spans="1:17" ht="17.5" thickBot="1" x14ac:dyDescent="0.5">
      <c r="A60" s="1"/>
      <c r="B60" s="19" t="s">
        <v>4</v>
      </c>
      <c r="C60" s="7" t="s">
        <v>102</v>
      </c>
      <c r="D60" s="7" t="s">
        <v>100</v>
      </c>
      <c r="E60" s="7" t="s">
        <v>96</v>
      </c>
      <c r="F60" s="7" t="s">
        <v>96</v>
      </c>
      <c r="G60" s="7"/>
      <c r="H60" s="20"/>
      <c r="I60" s="1"/>
      <c r="J60" s="1"/>
      <c r="K60" s="1"/>
      <c r="L60" s="1"/>
      <c r="M60" s="1"/>
      <c r="N60" s="1"/>
      <c r="O60" s="1"/>
      <c r="P60" s="1"/>
      <c r="Q60" s="1"/>
    </row>
    <row r="61" spans="1:17" ht="17.5" thickBot="1" x14ac:dyDescent="0.5">
      <c r="A61" s="1"/>
      <c r="B61" s="19" t="s">
        <v>103</v>
      </c>
      <c r="C61" s="7" t="s">
        <v>104</v>
      </c>
      <c r="D61" s="7" t="s">
        <v>193</v>
      </c>
      <c r="E61" s="7" t="s">
        <v>169</v>
      </c>
      <c r="F61" s="7"/>
      <c r="G61" s="7"/>
      <c r="H61" s="20"/>
      <c r="I61" s="1"/>
      <c r="J61" s="1"/>
      <c r="K61" s="1"/>
      <c r="L61" s="1"/>
      <c r="M61" s="1"/>
      <c r="N61" s="1"/>
      <c r="O61" s="1"/>
      <c r="P61" s="1"/>
      <c r="Q61" s="1"/>
    </row>
    <row r="62" spans="1:17" ht="17.5" thickBot="1" x14ac:dyDescent="0.5">
      <c r="A62" s="1"/>
      <c r="B62" s="19" t="s">
        <v>105</v>
      </c>
      <c r="C62" s="7" t="s">
        <v>106</v>
      </c>
      <c r="D62" s="7" t="s">
        <v>202</v>
      </c>
      <c r="E62" s="7" t="s">
        <v>96</v>
      </c>
      <c r="F62" s="7"/>
      <c r="G62" s="7"/>
      <c r="H62" s="20"/>
      <c r="I62" s="1"/>
      <c r="J62" s="1"/>
      <c r="K62" s="1"/>
      <c r="L62" s="1"/>
      <c r="M62" s="1"/>
      <c r="N62" s="1"/>
      <c r="O62" s="1"/>
      <c r="P62" s="1"/>
      <c r="Q62" s="1"/>
    </row>
    <row r="63" spans="1:17" ht="17.5" thickBot="1" x14ac:dyDescent="0.5">
      <c r="A63" s="1"/>
      <c r="B63" s="19" t="s">
        <v>107</v>
      </c>
      <c r="C63" s="7" t="s">
        <v>108</v>
      </c>
      <c r="D63" s="7" t="s">
        <v>109</v>
      </c>
      <c r="E63" s="7" t="s">
        <v>96</v>
      </c>
      <c r="F63" s="7"/>
      <c r="G63" s="7"/>
      <c r="H63" s="20" t="s">
        <v>200</v>
      </c>
      <c r="I63" s="1"/>
      <c r="J63" s="1"/>
      <c r="K63" s="1"/>
      <c r="L63" s="1"/>
      <c r="M63" s="1"/>
      <c r="N63" s="1"/>
      <c r="O63" s="1"/>
      <c r="P63" s="1"/>
      <c r="Q63" s="1"/>
    </row>
    <row r="64" spans="1:17" ht="17.5" thickBot="1" x14ac:dyDescent="0.5">
      <c r="A64" s="1"/>
      <c r="B64" s="21" t="s">
        <v>110</v>
      </c>
      <c r="C64" s="22" t="s">
        <v>111</v>
      </c>
      <c r="D64" s="22" t="s">
        <v>112</v>
      </c>
      <c r="E64" s="25" t="s">
        <v>169</v>
      </c>
      <c r="F64" s="22"/>
      <c r="G64" s="22"/>
      <c r="H64" s="23" t="s">
        <v>170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ht="17.5" thickBot="1" x14ac:dyDescent="0.5">
      <c r="A65" s="1"/>
      <c r="B65" s="1"/>
      <c r="C65" s="26" t="s">
        <v>162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7.5" thickBot="1" x14ac:dyDescent="0.5">
      <c r="A66" s="1"/>
      <c r="B66" s="16" t="s">
        <v>87</v>
      </c>
      <c r="C66" s="17" t="s">
        <v>88</v>
      </c>
      <c r="D66" s="17" t="s">
        <v>89</v>
      </c>
      <c r="E66" s="17" t="s">
        <v>90</v>
      </c>
      <c r="F66" s="17" t="s">
        <v>91</v>
      </c>
      <c r="G66" s="17" t="s">
        <v>92</v>
      </c>
      <c r="H66" s="18" t="s">
        <v>93</v>
      </c>
      <c r="I66" s="40"/>
      <c r="J66" s="1"/>
      <c r="K66" s="1"/>
      <c r="L66" s="1"/>
      <c r="M66" s="1"/>
      <c r="N66" s="1"/>
      <c r="O66" s="1"/>
      <c r="P66" s="1"/>
      <c r="Q66" s="1"/>
    </row>
    <row r="67" spans="1:17" ht="17.5" thickBot="1" x14ac:dyDescent="0.5">
      <c r="A67" s="1"/>
      <c r="B67" s="19" t="s">
        <v>113</v>
      </c>
      <c r="C67" s="7" t="s">
        <v>163</v>
      </c>
      <c r="D67" s="7" t="s">
        <v>195</v>
      </c>
      <c r="E67" s="7" t="s">
        <v>96</v>
      </c>
      <c r="F67" s="7" t="s">
        <v>96</v>
      </c>
      <c r="G67" s="7"/>
      <c r="H67" s="20"/>
      <c r="I67" s="40"/>
      <c r="J67" s="1"/>
      <c r="K67" s="1"/>
      <c r="L67" s="1"/>
      <c r="M67" s="1"/>
      <c r="N67" s="1"/>
      <c r="O67" s="1"/>
      <c r="P67" s="1"/>
      <c r="Q67" s="1"/>
    </row>
    <row r="68" spans="1:17" ht="17.5" thickBot="1" x14ac:dyDescent="0.5">
      <c r="A68" s="1"/>
      <c r="B68" s="19" t="s">
        <v>1</v>
      </c>
      <c r="C68" s="7" t="s">
        <v>124</v>
      </c>
      <c r="D68" s="7" t="s">
        <v>195</v>
      </c>
      <c r="E68" s="7" t="s">
        <v>169</v>
      </c>
      <c r="F68" s="7"/>
      <c r="G68" s="7" t="s">
        <v>169</v>
      </c>
      <c r="H68" s="27" t="s">
        <v>197</v>
      </c>
      <c r="I68" s="40"/>
      <c r="J68" s="1"/>
      <c r="K68" s="1"/>
      <c r="L68" s="1"/>
      <c r="M68" s="1"/>
      <c r="N68" s="1"/>
      <c r="O68" s="1"/>
      <c r="P68" s="1"/>
      <c r="Q68" s="1"/>
    </row>
    <row r="69" spans="1:17" ht="17.5" thickBot="1" x14ac:dyDescent="0.5">
      <c r="A69" s="1"/>
      <c r="B69" s="19" t="s">
        <v>209</v>
      </c>
      <c r="C69" s="7" t="s">
        <v>211</v>
      </c>
      <c r="D69" s="7" t="s">
        <v>203</v>
      </c>
      <c r="E69" s="7" t="s">
        <v>169</v>
      </c>
      <c r="F69" s="7"/>
      <c r="G69" s="7"/>
      <c r="H69" s="28" t="s">
        <v>213</v>
      </c>
      <c r="I69" s="40"/>
      <c r="J69" s="1"/>
      <c r="K69" s="1"/>
      <c r="L69" s="1"/>
      <c r="M69" s="1"/>
      <c r="N69" s="1"/>
      <c r="O69" s="1"/>
      <c r="P69" s="1"/>
      <c r="Q69" s="1"/>
    </row>
    <row r="70" spans="1:17" ht="17.5" thickBot="1" x14ac:dyDescent="0.5">
      <c r="A70" s="1"/>
      <c r="B70" s="21" t="s">
        <v>210</v>
      </c>
      <c r="C70" s="22" t="s">
        <v>208</v>
      </c>
      <c r="D70" s="22" t="s">
        <v>193</v>
      </c>
      <c r="E70" s="22" t="s">
        <v>169</v>
      </c>
      <c r="F70" s="22"/>
      <c r="G70" s="22"/>
      <c r="H70" s="23" t="s">
        <v>212</v>
      </c>
      <c r="I70" s="40"/>
      <c r="J70" s="1"/>
      <c r="K70" s="1"/>
      <c r="L70" s="1"/>
      <c r="M70" s="1"/>
      <c r="N70" s="1"/>
      <c r="O70" s="1"/>
      <c r="P70" s="1"/>
      <c r="Q70" s="1"/>
    </row>
    <row r="71" spans="1:17" ht="17.5" thickBot="1" x14ac:dyDescent="0.5">
      <c r="A71" s="1"/>
      <c r="B71" s="1"/>
      <c r="C71" s="26" t="s">
        <v>166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7.5" thickBot="1" x14ac:dyDescent="0.5">
      <c r="A72" s="1"/>
      <c r="B72" s="16" t="s">
        <v>87</v>
      </c>
      <c r="C72" s="17" t="s">
        <v>88</v>
      </c>
      <c r="D72" s="17" t="s">
        <v>89</v>
      </c>
      <c r="E72" s="17" t="s">
        <v>90</v>
      </c>
      <c r="F72" s="17" t="s">
        <v>91</v>
      </c>
      <c r="G72" s="17" t="s">
        <v>92</v>
      </c>
      <c r="H72" s="18" t="s">
        <v>93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ht="17.5" thickBot="1" x14ac:dyDescent="0.5">
      <c r="A73" s="1"/>
      <c r="B73" s="5" t="s">
        <v>167</v>
      </c>
      <c r="C73" s="1" t="s">
        <v>168</v>
      </c>
      <c r="D73" s="1" t="s">
        <v>193</v>
      </c>
      <c r="E73" s="1" t="s">
        <v>96</v>
      </c>
      <c r="F73" s="1" t="s">
        <v>96</v>
      </c>
      <c r="G73" s="7"/>
      <c r="H73" s="27"/>
      <c r="I73" s="1"/>
      <c r="J73" s="1"/>
      <c r="K73" s="1"/>
      <c r="L73" s="1"/>
      <c r="M73" s="1"/>
      <c r="N73" s="1"/>
      <c r="O73" s="1"/>
      <c r="P73" s="1"/>
      <c r="Q73" s="1"/>
    </row>
    <row r="74" spans="1:17" ht="17.5" thickBot="1" x14ac:dyDescent="0.5">
      <c r="A74" s="1"/>
      <c r="B74" s="19" t="s">
        <v>101</v>
      </c>
      <c r="C74" s="7" t="s">
        <v>102</v>
      </c>
      <c r="D74" s="7" t="s">
        <v>193</v>
      </c>
      <c r="E74" s="7" t="s">
        <v>96</v>
      </c>
      <c r="F74" s="7"/>
      <c r="G74" s="7" t="s">
        <v>96</v>
      </c>
      <c r="H74" s="27" t="s">
        <v>198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ht="17.5" thickBot="1" x14ac:dyDescent="0.5">
      <c r="A75" s="1"/>
      <c r="B75" s="19" t="s">
        <v>113</v>
      </c>
      <c r="C75" s="7" t="s">
        <v>163</v>
      </c>
      <c r="D75" s="7" t="s">
        <v>95</v>
      </c>
      <c r="E75" s="7" t="s">
        <v>96</v>
      </c>
      <c r="F75" s="7"/>
      <c r="G75" s="7" t="s">
        <v>96</v>
      </c>
      <c r="H75" s="27" t="s">
        <v>199</v>
      </c>
      <c r="I75" s="1"/>
      <c r="J75" s="1"/>
      <c r="K75" s="1"/>
      <c r="L75" s="1"/>
      <c r="M75" s="1"/>
      <c r="N75" s="1"/>
      <c r="O75" s="1"/>
      <c r="P75" s="1"/>
      <c r="Q75" s="1"/>
    </row>
    <row r="76" spans="1:17" ht="17.5" thickBot="1" x14ac:dyDescent="0.5">
      <c r="A76" s="1"/>
      <c r="B76" s="19" t="s">
        <v>115</v>
      </c>
      <c r="C76" s="7" t="s">
        <v>164</v>
      </c>
      <c r="D76" s="7" t="s">
        <v>95</v>
      </c>
      <c r="E76" s="7" t="s">
        <v>96</v>
      </c>
      <c r="F76" s="7"/>
      <c r="G76" s="7" t="s">
        <v>96</v>
      </c>
      <c r="H76" s="27" t="s">
        <v>197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ht="17.5" thickBot="1" x14ac:dyDescent="0.5">
      <c r="A77" s="1"/>
      <c r="B77" s="19" t="s">
        <v>116</v>
      </c>
      <c r="C77" s="7" t="s">
        <v>165</v>
      </c>
      <c r="D77" s="7" t="s">
        <v>95</v>
      </c>
      <c r="E77" s="7" t="s">
        <v>96</v>
      </c>
      <c r="F77" s="7"/>
      <c r="G77" s="7" t="s">
        <v>96</v>
      </c>
      <c r="H77" s="27" t="s">
        <v>197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ht="17.5" thickBot="1" x14ac:dyDescent="0.5">
      <c r="A78" s="1"/>
      <c r="B78" s="19" t="s">
        <v>117</v>
      </c>
      <c r="C78" s="7" t="s">
        <v>118</v>
      </c>
      <c r="D78" s="7" t="s">
        <v>194</v>
      </c>
      <c r="E78" s="7" t="s">
        <v>96</v>
      </c>
      <c r="F78" s="7"/>
      <c r="G78" s="7"/>
      <c r="H78" s="20"/>
      <c r="I78" s="1"/>
      <c r="J78" s="1"/>
      <c r="K78" s="1"/>
      <c r="L78" s="1"/>
      <c r="M78" s="1"/>
      <c r="N78" s="1"/>
      <c r="O78" s="1"/>
      <c r="P78" s="1"/>
      <c r="Q78" s="1"/>
    </row>
    <row r="79" spans="1:17" ht="17.5" thickBot="1" x14ac:dyDescent="0.5">
      <c r="A79" s="1"/>
      <c r="B79" s="19" t="s">
        <v>119</v>
      </c>
      <c r="C79" s="7" t="s">
        <v>120</v>
      </c>
      <c r="D79" s="7" t="s">
        <v>194</v>
      </c>
      <c r="E79" t="s">
        <v>96</v>
      </c>
      <c r="F79" s="7"/>
      <c r="G79" s="7"/>
      <c r="H79" s="20"/>
      <c r="I79" s="1"/>
      <c r="J79" s="1"/>
      <c r="K79" s="1"/>
      <c r="L79" s="1"/>
      <c r="M79" s="1"/>
      <c r="N79" s="1"/>
      <c r="O79" s="1"/>
      <c r="P79" s="1"/>
      <c r="Q79" s="1"/>
    </row>
    <row r="80" spans="1:17" ht="17.5" thickBot="1" x14ac:dyDescent="0.5">
      <c r="A80" s="1"/>
      <c r="B80" s="21" t="s">
        <v>122</v>
      </c>
      <c r="C80" s="22" t="s">
        <v>121</v>
      </c>
      <c r="D80" s="22" t="s">
        <v>114</v>
      </c>
      <c r="E80" s="22" t="s">
        <v>169</v>
      </c>
      <c r="F80" s="22"/>
      <c r="G80" s="22"/>
      <c r="H80" s="23" t="s">
        <v>171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45">
      <c r="A82" s="1"/>
      <c r="J82" s="1"/>
      <c r="K82" s="1"/>
      <c r="L82" s="1"/>
      <c r="M82" s="1"/>
      <c r="N82" s="1"/>
      <c r="O82" s="1"/>
      <c r="P82" s="1"/>
      <c r="Q82" s="1"/>
    </row>
    <row r="83" spans="1:17" x14ac:dyDescent="0.45">
      <c r="A83" s="1"/>
      <c r="J83" s="1"/>
      <c r="K83" s="1"/>
      <c r="L83" s="1"/>
      <c r="M83" s="1"/>
      <c r="N83" s="1"/>
      <c r="O83" s="1"/>
      <c r="P83" s="1"/>
      <c r="Q83" s="1"/>
    </row>
    <row r="84" spans="1:17" x14ac:dyDescent="0.45">
      <c r="A84" s="1"/>
      <c r="J84" s="1"/>
      <c r="K84" s="1"/>
      <c r="L84" s="1"/>
      <c r="M84" s="1"/>
      <c r="N84" s="1"/>
      <c r="O84" s="1"/>
      <c r="P84" s="1"/>
      <c r="Q84" s="1"/>
    </row>
    <row r="85" spans="1:17" x14ac:dyDescent="0.45">
      <c r="A85" s="1"/>
      <c r="J85" s="1"/>
      <c r="K85" s="1"/>
      <c r="L85" s="1"/>
      <c r="M85" s="1"/>
      <c r="N85" s="1"/>
      <c r="O85" s="1"/>
      <c r="P85" s="1"/>
      <c r="Q85" s="1"/>
    </row>
    <row r="86" spans="1:17" x14ac:dyDescent="0.45">
      <c r="A86" s="1"/>
      <c r="J86" s="1"/>
      <c r="K86" s="1"/>
      <c r="L86" s="1"/>
      <c r="M86" s="1"/>
      <c r="N86" s="1"/>
      <c r="O86" s="1"/>
      <c r="P86" s="1"/>
      <c r="Q86" s="1"/>
    </row>
    <row r="87" spans="1:17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</sheetData>
  <mergeCells count="5">
    <mergeCell ref="A24:H24"/>
    <mergeCell ref="B2:D2"/>
    <mergeCell ref="H4:L4"/>
    <mergeCell ref="N4:Q4"/>
    <mergeCell ref="B4:D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usersa</dc:creator>
  <cp:lastModifiedBy>성빈 이</cp:lastModifiedBy>
  <dcterms:created xsi:type="dcterms:W3CDTF">2025-09-25T07:41:44Z</dcterms:created>
  <dcterms:modified xsi:type="dcterms:W3CDTF">2025-09-28T07:54:51Z</dcterms:modified>
</cp:coreProperties>
</file>